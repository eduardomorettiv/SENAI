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\Desktop\SENAI\2º Semestre\psof1 (projetos de software)\Aula02\Exemplo\"/>
    </mc:Choice>
  </mc:AlternateContent>
  <xr:revisionPtr revIDLastSave="0" documentId="13_ncr:1_{D2B84E42-715C-4F7C-9981-7B6E39ACA30A}" xr6:coauthVersionLast="47" xr6:coauthVersionMax="47" xr10:uidLastSave="{00000000-0000-0000-0000-000000000000}"/>
  <bookViews>
    <workbookView xWindow="-108" yWindow="-108" windowWidth="23256" windowHeight="12456" xr2:uid="{04C0D274-74BE-48A7-B292-1A091063C1B2}"/>
  </bookViews>
  <sheets>
    <sheet name="Orçamento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5" l="1"/>
  <c r="I5" i="5"/>
  <c r="I6" i="5"/>
  <c r="I7" i="5"/>
  <c r="I3" i="5"/>
  <c r="D7" i="5"/>
  <c r="I8" i="5" l="1"/>
  <c r="I9" i="5" s="1"/>
</calcChain>
</file>

<file path=xl/sharedStrings.xml><?xml version="1.0" encoding="utf-8"?>
<sst xmlns="http://schemas.openxmlformats.org/spreadsheetml/2006/main" count="22" uniqueCount="20">
  <si>
    <t>Orçamento</t>
  </si>
  <si>
    <t>Materiais</t>
  </si>
  <si>
    <t>Madeira</t>
  </si>
  <si>
    <t>Prégos</t>
  </si>
  <si>
    <t>Parafusos</t>
  </si>
  <si>
    <t>Ferramentas</t>
  </si>
  <si>
    <t>Quantidade</t>
  </si>
  <si>
    <t>Custo.Unitário</t>
  </si>
  <si>
    <t>Subtotal</t>
  </si>
  <si>
    <t>Total</t>
  </si>
  <si>
    <t>Mão de Obra</t>
  </si>
  <si>
    <t>Profissional</t>
  </si>
  <si>
    <t>Carpinteiro</t>
  </si>
  <si>
    <t>Gerente</t>
  </si>
  <si>
    <t>Supervisor</t>
  </si>
  <si>
    <t>Encarregado</t>
  </si>
  <si>
    <t>Ajudante</t>
  </si>
  <si>
    <t>Horas</t>
  </si>
  <si>
    <t>Custo/Hora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</si>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</sst>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44" fontId="0" fillId="0" borderId="1" xfId="1" applyFont="1" applyBorder="1"/>
    <xf numFmtId="44" fontId="0" fillId="0" borderId="1" xfId="0" applyNumberFormat="1" applyBorder="1"/>
    <xf numFmtId="0" fontId="1" fillId="0" borderId="1" xfId="0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8E3D2-41A3-4A5F-8C58-49D3B74DC7D0}">
  <dimension ref="A1:I9"/>
  <sheetViews>
    <sheetView tabSelected="1" workbookViewId="0">
      <selection activeCell="C2" sqref="C2"/>
    </sheetView>
  </sheetViews>
  <sheetFormatPr defaultRowHeight="14.4" x14ac:dyDescent="0.3"/>
  <cols>
    <col min="1" max="1" width="11.33203125" bestFit="1" customWidth="1"/>
    <col min="2" max="2" width="10.33203125" bestFit="1" customWidth="1"/>
    <col min="3" max="3" width="12.6640625" bestFit="1" customWidth="1"/>
    <col min="4" max="4" width="11.88671875" bestFit="1" customWidth="1"/>
    <col min="8" max="9" width="10.33203125" bestFit="1" customWidth="1"/>
  </cols>
  <sheetData>
    <row r="1" spans="1:9" x14ac:dyDescent="0.3">
      <c r="A1" s="1" t="s">
        <v>0</v>
      </c>
      <c r="B1" s="1"/>
      <c r="C1" s="1"/>
      <c r="D1" s="1"/>
      <c r="F1" s="1" t="s">
        <v>10</v>
      </c>
      <c r="G1" s="1"/>
      <c r="H1" s="1"/>
      <c r="I1" s="1"/>
    </row>
    <row r="2" spans="1:9" x14ac:dyDescent="0.3">
      <c r="A2" s="1" t="s">
        <v>1</v>
      </c>
      <c r="B2" s="1" t="s">
        <v>6</v>
      </c>
      <c r="C2" s="1" t="s">
        <v>7</v>
      </c>
      <c r="D2" s="1" t="s">
        <v>8</v>
      </c>
      <c r="F2" s="1" t="s">
        <v>11</v>
      </c>
      <c r="G2" s="1" t="s">
        <v>17</v>
      </c>
      <c r="H2" s="1" t="s">
        <v>18</v>
      </c>
      <c r="I2" s="1" t="s">
        <v>8</v>
      </c>
    </row>
    <row r="3" spans="1:9" x14ac:dyDescent="0.3">
      <c r="A3" s="1" t="s">
        <v>2</v>
      </c>
      <c r="B3" s="1">
        <v>10</v>
      </c>
      <c r="C3" s="2">
        <v>20</v>
      </c>
      <c r="D3" s="2">
        <v>200</v>
      </c>
      <c r="F3" s="1" t="s">
        <v>13</v>
      </c>
      <c r="G3" s="1">
        <v>2</v>
      </c>
      <c r="H3" s="2">
        <v>30</v>
      </c>
      <c r="I3" s="2">
        <f>G3*H3</f>
        <v>60</v>
      </c>
    </row>
    <row r="4" spans="1:9" x14ac:dyDescent="0.3">
      <c r="A4" s="1" t="s">
        <v>3</v>
      </c>
      <c r="B4" s="1">
        <v>1</v>
      </c>
      <c r="C4" s="2">
        <v>14.5</v>
      </c>
      <c r="D4" s="2">
        <v>14.5</v>
      </c>
      <c r="F4" s="1" t="s">
        <v>14</v>
      </c>
      <c r="G4" s="1">
        <v>8</v>
      </c>
      <c r="H4" s="2">
        <v>20</v>
      </c>
      <c r="I4" s="2">
        <f t="shared" ref="I4:I7" si="0">G4*H4</f>
        <v>160</v>
      </c>
    </row>
    <row r="5" spans="1:9" x14ac:dyDescent="0.3">
      <c r="A5" s="1" t="s">
        <v>4</v>
      </c>
      <c r="B5" s="1">
        <v>30</v>
      </c>
      <c r="C5" s="2">
        <v>0.3</v>
      </c>
      <c r="D5" s="2">
        <v>9</v>
      </c>
      <c r="F5" s="1" t="s">
        <v>15</v>
      </c>
      <c r="G5" s="1">
        <v>8</v>
      </c>
      <c r="H5" s="2">
        <v>12</v>
      </c>
      <c r="I5" s="2">
        <f t="shared" si="0"/>
        <v>96</v>
      </c>
    </row>
    <row r="6" spans="1:9" x14ac:dyDescent="0.3">
      <c r="A6" s="1" t="s">
        <v>5</v>
      </c>
      <c r="B6" s="1">
        <v>1</v>
      </c>
      <c r="C6" s="2">
        <v>50</v>
      </c>
      <c r="D6" s="2">
        <v>50</v>
      </c>
      <c r="F6" s="1" t="s">
        <v>12</v>
      </c>
      <c r="G6" s="1">
        <v>16</v>
      </c>
      <c r="H6" s="2">
        <v>8</v>
      </c>
      <c r="I6" s="2">
        <f t="shared" si="0"/>
        <v>128</v>
      </c>
    </row>
    <row r="7" spans="1:9" x14ac:dyDescent="0.3">
      <c r="A7" s="1"/>
      <c r="B7" s="1"/>
      <c r="C7" s="1" t="s">
        <v>9</v>
      </c>
      <c r="D7" s="3">
        <f>D3+D4+D5+D6</f>
        <v>273.5</v>
      </c>
      <c r="F7" s="1" t="s">
        <v>16</v>
      </c>
      <c r="G7" s="1">
        <v>16</v>
      </c>
      <c r="H7" s="2">
        <v>5</v>
      </c>
      <c r="I7" s="2">
        <f t="shared" si="0"/>
        <v>80</v>
      </c>
    </row>
    <row r="8" spans="1:9" x14ac:dyDescent="0.3">
      <c r="F8" s="1"/>
      <c r="G8" s="1"/>
      <c r="H8" s="1" t="s">
        <v>9</v>
      </c>
      <c r="I8" s="3">
        <f>I3+I4+I5+I6+I7</f>
        <v>524</v>
      </c>
    </row>
    <row r="9" spans="1:9" x14ac:dyDescent="0.3">
      <c r="F9" s="1"/>
      <c r="G9" s="1"/>
      <c r="H9" s="4" t="s">
        <v>19</v>
      </c>
      <c r="I9" s="3">
        <f>I8+D7</f>
        <v>797.5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Moretti</dc:creator>
  <cp:lastModifiedBy>Eduardo Moretti</cp:lastModifiedBy>
  <dcterms:created xsi:type="dcterms:W3CDTF">2026-09-03T12:23:00Z</dcterms:created>
  <dcterms:modified xsi:type="dcterms:W3CDTF">2026-09-03T14:56:49Z</dcterms:modified>
</cp:coreProperties>
</file>